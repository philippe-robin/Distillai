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ens" sheetId="1" state="visible" r:id="rId1"/>
    <sheet name="Critères" sheetId="2" state="visible" r:id="rId2"/>
  </sheets>
  <definedNames>
    <definedName name="_xlnm._FilterDatabase" localSheetId="0" hidden="1">'Biens'!$A$1:$Q$26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3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26" customWidth="1" min="3" max="3"/>
    <col width="22" customWidth="1" min="4" max="4"/>
    <col width="8" customWidth="1" min="5" max="5"/>
    <col width="13" customWidth="1" min="6" max="6"/>
    <col width="12" customWidth="1" min="7" max="7"/>
    <col width="12" customWidth="1" min="8" max="8"/>
    <col width="8" customWidth="1" min="9" max="9"/>
    <col width="10" customWidth="1" min="10" max="10"/>
    <col width="12" customWidth="1" min="11" max="11"/>
    <col width="6" customWidth="1" min="12" max="12"/>
    <col width="14" customWidth="1" min="13" max="13"/>
    <col width="34" customWidth="1" min="14" max="14"/>
    <col width="9" customWidth="1" min="15" max="15"/>
    <col width="30" customWidth="1" min="16" max="16"/>
    <col width="12" customWidth="1" min="17" max="17"/>
  </cols>
  <sheetData>
    <row r="1" ht="28" customHeight="1">
      <c r="A1" s="1" t="inlineStr">
        <is>
          <t>N°</t>
        </is>
      </c>
      <c r="B1" s="1" t="inlineStr">
        <is>
          <t>Bien</t>
        </is>
      </c>
      <c r="C1" s="1" t="inlineStr">
        <is>
          <t>Secteur</t>
        </is>
      </c>
      <c r="D1" s="1" t="inlineStr">
        <is>
          <t>Ville</t>
        </is>
      </c>
      <c r="E1" s="1" t="inlineStr">
        <is>
          <t>CP</t>
        </is>
      </c>
      <c r="F1" s="1" t="inlineStr">
        <is>
          <t>Prix (€)</t>
        </is>
      </c>
      <c r="G1" s="1" t="inlineStr">
        <is>
          <t>Surface (m²)</t>
        </is>
      </c>
      <c r="H1" s="1" t="inlineStr">
        <is>
          <t>Terrain (m²)</t>
        </is>
      </c>
      <c r="I1" s="1" t="inlineStr">
        <is>
          <t>Pièces</t>
        </is>
      </c>
      <c r="J1" s="1" t="inlineStr">
        <is>
          <t>Chambres</t>
        </is>
      </c>
      <c r="K1" s="1" t="inlineStr">
        <is>
          <t>Prix/m² (€)</t>
        </is>
      </c>
      <c r="L1" s="1" t="inlineStr">
        <is>
          <t>DPE</t>
        </is>
      </c>
      <c r="M1" s="1" t="inlineStr">
        <is>
          <t>Neuf / Ancien</t>
        </is>
      </c>
      <c r="N1" s="1" t="inlineStr">
        <is>
          <t>Agence</t>
        </is>
      </c>
      <c r="O1" s="1" t="inlineStr">
        <is>
          <t>Doublon</t>
        </is>
      </c>
      <c r="P1" s="1" t="inlineStr">
        <is>
          <t>Remarque</t>
        </is>
      </c>
      <c r="Q1" s="1" t="inlineStr">
        <is>
          <t>Relevé le</t>
        </is>
      </c>
    </row>
    <row r="2">
      <c r="A2" s="2" t="n">
        <v>1</v>
      </c>
      <c r="B2" s="3" t="inlineStr">
        <is>
          <t>Maison</t>
        </is>
      </c>
      <c r="C2" s="3" t="inlineStr">
        <is>
          <t>Est</t>
        </is>
      </c>
      <c r="D2" s="3" t="inlineStr">
        <is>
          <t>Geispolsheim</t>
        </is>
      </c>
      <c r="E2" s="3" t="inlineStr">
        <is>
          <t>67118</t>
        </is>
      </c>
      <c r="F2" s="4" t="n">
        <v>567000</v>
      </c>
      <c r="G2" s="5" t="n">
        <v>211</v>
      </c>
      <c r="H2" s="5" t="n">
        <v>430</v>
      </c>
      <c r="I2" s="2" t="n">
        <v>7</v>
      </c>
      <c r="J2" s="2" t="n">
        <v>5</v>
      </c>
      <c r="K2" s="4">
        <f>IFERROR(F2/G2,"")</f>
        <v/>
      </c>
      <c r="L2" s="3" t="inlineStr">
        <is>
          <t>D</t>
        </is>
      </c>
      <c r="M2" s="3" t="n"/>
      <c r="N2" s="3" t="inlineStr">
        <is>
          <t>BARLIER IMMOBILIER</t>
        </is>
      </c>
      <c r="O2" s="3" t="n"/>
      <c r="P2" s="3" t="n"/>
      <c r="Q2" s="3" t="inlineStr">
        <is>
          <t>26/09/2026</t>
        </is>
      </c>
    </row>
    <row r="3">
      <c r="A3" s="2" t="n">
        <v>2</v>
      </c>
      <c r="B3" s="3" t="inlineStr">
        <is>
          <t>Maison</t>
        </is>
      </c>
      <c r="C3" s="3" t="n"/>
      <c r="D3" s="3" t="inlineStr">
        <is>
          <t>Illkirch-Graffenstaden</t>
        </is>
      </c>
      <c r="E3" s="3" t="inlineStr">
        <is>
          <t>67400</t>
        </is>
      </c>
      <c r="F3" s="4" t="n">
        <v>569999</v>
      </c>
      <c r="G3" s="5" t="n">
        <v>210</v>
      </c>
      <c r="H3" s="5" t="n">
        <v>564</v>
      </c>
      <c r="I3" s="2" t="n">
        <v>6</v>
      </c>
      <c r="J3" s="2" t="n">
        <v>3</v>
      </c>
      <c r="K3" s="4">
        <f>IFERROR(F3/G3,"")</f>
        <v/>
      </c>
      <c r="L3" s="3" t="inlineStr">
        <is>
          <t>D</t>
        </is>
      </c>
      <c r="M3" s="3" t="n"/>
      <c r="N3" s="3" t="inlineStr">
        <is>
          <t>ETHIQU IMMO</t>
        </is>
      </c>
      <c r="O3" s="3" t="n"/>
      <c r="P3" s="3" t="n"/>
      <c r="Q3" s="3" t="inlineStr">
        <is>
          <t>26/09/2026</t>
        </is>
      </c>
    </row>
    <row r="4">
      <c r="A4" s="2" t="n">
        <v>3</v>
      </c>
      <c r="B4" s="3" t="inlineStr">
        <is>
          <t>Maison</t>
        </is>
      </c>
      <c r="C4" s="3" t="n"/>
      <c r="D4" s="3" t="inlineStr">
        <is>
          <t>Ostwald</t>
        </is>
      </c>
      <c r="E4" s="3" t="inlineStr">
        <is>
          <t>67540</t>
        </is>
      </c>
      <c r="F4" s="4" t="n">
        <v>629000</v>
      </c>
      <c r="G4" s="5" t="n">
        <v>231</v>
      </c>
      <c r="H4" s="5" t="n">
        <v>738</v>
      </c>
      <c r="I4" s="2" t="n">
        <v>8</v>
      </c>
      <c r="J4" s="2" t="n">
        <v>5</v>
      </c>
      <c r="K4" s="4">
        <f>IFERROR(F4/G4,"")</f>
        <v/>
      </c>
      <c r="L4" s="3" t="inlineStr">
        <is>
          <t>D</t>
        </is>
      </c>
      <c r="M4" s="3" t="n"/>
      <c r="N4" s="3" t="inlineStr">
        <is>
          <t>L'origin Immobilière</t>
        </is>
      </c>
      <c r="O4" s="3" t="n"/>
      <c r="P4" s="3" t="n"/>
      <c r="Q4" s="3" t="inlineStr">
        <is>
          <t>26/09/2026</t>
        </is>
      </c>
    </row>
    <row r="5">
      <c r="A5" s="2" t="n">
        <v>4</v>
      </c>
      <c r="B5" s="3" t="inlineStr">
        <is>
          <t>Maison</t>
        </is>
      </c>
      <c r="C5" s="3" t="inlineStr">
        <is>
          <t>Ouest</t>
        </is>
      </c>
      <c r="D5" s="3" t="inlineStr">
        <is>
          <t>Souffelweyersheim</t>
        </is>
      </c>
      <c r="E5" s="3" t="inlineStr">
        <is>
          <t>67460</t>
        </is>
      </c>
      <c r="F5" s="4" t="n">
        <v>589900</v>
      </c>
      <c r="G5" s="5" t="n">
        <v>200</v>
      </c>
      <c r="H5" s="5" t="n">
        <v>588</v>
      </c>
      <c r="I5" s="2" t="n">
        <v>6</v>
      </c>
      <c r="J5" s="2" t="n">
        <v>4</v>
      </c>
      <c r="K5" s="4">
        <f>IFERROR(F5/G5,"")</f>
        <v/>
      </c>
      <c r="L5" s="3" t="inlineStr">
        <is>
          <t>A</t>
        </is>
      </c>
      <c r="M5" s="3" t="n"/>
      <c r="N5" s="3" t="inlineStr">
        <is>
          <t>ETHIQU IMMO</t>
        </is>
      </c>
      <c r="O5" s="3" t="inlineStr">
        <is>
          <t>D1</t>
        </is>
      </c>
      <c r="P5" s="3" t="n"/>
      <c r="Q5" s="3" t="inlineStr">
        <is>
          <t>26/09/2026</t>
        </is>
      </c>
    </row>
    <row r="6">
      <c r="A6" s="2" t="n">
        <v>5</v>
      </c>
      <c r="B6" s="3" t="inlineStr">
        <is>
          <t>Maison</t>
        </is>
      </c>
      <c r="C6" s="3" t="inlineStr">
        <is>
          <t>Ouest</t>
        </is>
      </c>
      <c r="D6" s="3" t="inlineStr">
        <is>
          <t>Souffelweyersheim</t>
        </is>
      </c>
      <c r="E6" s="3" t="inlineStr">
        <is>
          <t>67460</t>
        </is>
      </c>
      <c r="F6" s="4" t="n">
        <v>589900</v>
      </c>
      <c r="G6" s="5" t="n">
        <v>200</v>
      </c>
      <c r="H6" s="5" t="n">
        <v>588</v>
      </c>
      <c r="I6" s="2" t="n">
        <v>5</v>
      </c>
      <c r="J6" s="2" t="n">
        <v>4</v>
      </c>
      <c r="K6" s="4">
        <f>IFERROR(F6/G6,"")</f>
        <v/>
      </c>
      <c r="L6" s="3" t="inlineStr">
        <is>
          <t>C</t>
        </is>
      </c>
      <c r="M6" s="3" t="n"/>
      <c r="N6" s="3" t="inlineStr">
        <is>
          <t>Orpi Immobilière Bartholdi Reichstett</t>
        </is>
      </c>
      <c r="O6" s="3" t="inlineStr">
        <is>
          <t>D1</t>
        </is>
      </c>
      <c r="P6" s="3" t="n"/>
      <c r="Q6" s="3" t="inlineStr">
        <is>
          <t>26/09/2026</t>
        </is>
      </c>
    </row>
    <row r="7">
      <c r="A7" s="2" t="n">
        <v>6</v>
      </c>
      <c r="B7" s="3" t="inlineStr">
        <is>
          <t>Maison</t>
        </is>
      </c>
      <c r="C7" s="3" t="inlineStr">
        <is>
          <t>Schilick Centre Ouest</t>
        </is>
      </c>
      <c r="D7" s="3" t="inlineStr">
        <is>
          <t>Schiltigheim</t>
        </is>
      </c>
      <c r="E7" s="3" t="inlineStr">
        <is>
          <t>67300</t>
        </is>
      </c>
      <c r="F7" s="4" t="n">
        <v>650000</v>
      </c>
      <c r="G7" s="5" t="n">
        <v>216</v>
      </c>
      <c r="H7" s="5" t="n"/>
      <c r="I7" s="2" t="n">
        <v>6</v>
      </c>
      <c r="J7" s="2" t="n">
        <v>5</v>
      </c>
      <c r="K7" s="4">
        <f>IFERROR(F7/G7,"")</f>
        <v/>
      </c>
      <c r="L7" s="3" t="n"/>
      <c r="M7" s="3" t="n"/>
      <c r="N7" s="3" t="inlineStr">
        <is>
          <t>Rose Immobilier</t>
        </is>
      </c>
      <c r="O7" s="3" t="n"/>
      <c r="P7" s="3" t="n"/>
      <c r="Q7" s="3" t="inlineStr">
        <is>
          <t>26/09/2026</t>
        </is>
      </c>
    </row>
    <row r="8">
      <c r="A8" s="2" t="n">
        <v>7</v>
      </c>
      <c r="B8" s="3" t="inlineStr">
        <is>
          <t>Maison</t>
        </is>
      </c>
      <c r="C8" s="3" t="inlineStr">
        <is>
          <t>Schilick Centre Est-Vieux Schilick</t>
        </is>
      </c>
      <c r="D8" s="3" t="inlineStr">
        <is>
          <t>Schiltigheim</t>
        </is>
      </c>
      <c r="E8" s="3" t="inlineStr">
        <is>
          <t>67300</t>
        </is>
      </c>
      <c r="F8" s="4" t="n">
        <v>676000</v>
      </c>
      <c r="G8" s="5" t="n">
        <v>201.2</v>
      </c>
      <c r="H8" s="5" t="n">
        <v>464</v>
      </c>
      <c r="I8" s="2" t="n">
        <v>7</v>
      </c>
      <c r="J8" s="2" t="n">
        <v>5</v>
      </c>
      <c r="K8" s="4">
        <f>IFERROR(F8/G8,"")</f>
        <v/>
      </c>
      <c r="L8" s="3" t="inlineStr">
        <is>
          <t>C</t>
        </is>
      </c>
      <c r="M8" s="3" t="n"/>
      <c r="N8" s="3" t="inlineStr">
        <is>
          <t>Neudorf L'Immobilier</t>
        </is>
      </c>
      <c r="O8" s="3" t="n"/>
      <c r="P8" s="3" t="n"/>
      <c r="Q8" s="3" t="inlineStr">
        <is>
          <t>26/09/2026</t>
        </is>
      </c>
    </row>
    <row r="9">
      <c r="A9" s="2" t="n">
        <v>8</v>
      </c>
      <c r="B9" s="3" t="inlineStr">
        <is>
          <t>Villa</t>
        </is>
      </c>
      <c r="C9" s="3" t="n"/>
      <c r="D9" s="3" t="inlineStr">
        <is>
          <t>Schiltigheim</t>
        </is>
      </c>
      <c r="E9" s="3" t="inlineStr">
        <is>
          <t>67300</t>
        </is>
      </c>
      <c r="F9" s="4" t="n">
        <v>696800</v>
      </c>
      <c r="G9" s="5" t="n">
        <v>203</v>
      </c>
      <c r="H9" s="5" t="n">
        <v>3114</v>
      </c>
      <c r="I9" s="2" t="n">
        <v>8</v>
      </c>
      <c r="J9" s="2" t="n">
        <v>5</v>
      </c>
      <c r="K9" s="4">
        <f>IFERROR(F9/G9,"")</f>
        <v/>
      </c>
      <c r="L9" s="3" t="inlineStr">
        <is>
          <t>D</t>
        </is>
      </c>
      <c r="M9" s="3" t="n"/>
      <c r="N9" s="3" t="inlineStr">
        <is>
          <t>Immobilière De La Zorn</t>
        </is>
      </c>
      <c r="O9" s="3" t="n"/>
      <c r="P9" s="3" t="n"/>
      <c r="Q9" s="3" t="inlineStr">
        <is>
          <t>26/09/2026</t>
        </is>
      </c>
    </row>
    <row r="10">
      <c r="A10" s="2" t="n">
        <v>9</v>
      </c>
      <c r="B10" s="3" t="inlineStr">
        <is>
          <t>Maison</t>
        </is>
      </c>
      <c r="C10" s="3" t="inlineStr">
        <is>
          <t>Plaine des Bouchers-Centre</t>
        </is>
      </c>
      <c r="D10" s="3" t="inlineStr">
        <is>
          <t>Strasbourg</t>
        </is>
      </c>
      <c r="E10" s="3" t="inlineStr">
        <is>
          <t>67100</t>
        </is>
      </c>
      <c r="F10" s="4" t="n">
        <v>740000</v>
      </c>
      <c r="G10" s="5" t="n">
        <v>213</v>
      </c>
      <c r="H10" s="5" t="n">
        <v>220</v>
      </c>
      <c r="I10" s="2" t="n">
        <v>5</v>
      </c>
      <c r="J10" s="2" t="n">
        <v>4</v>
      </c>
      <c r="K10" s="4">
        <f>IFERROR(F10/G10,"")</f>
        <v/>
      </c>
      <c r="L10" s="3" t="inlineStr">
        <is>
          <t>C</t>
        </is>
      </c>
      <c r="M10" s="3" t="n"/>
      <c r="N10" s="3" t="inlineStr">
        <is>
          <t>ESPACES ATYPIQUES ALSACE</t>
        </is>
      </c>
      <c r="O10" s="3" t="n"/>
      <c r="P10" s="3" t="n"/>
      <c r="Q10" s="3" t="inlineStr">
        <is>
          <t>26/09/2026</t>
        </is>
      </c>
    </row>
    <row r="11">
      <c r="A11" s="2" t="n">
        <v>10</v>
      </c>
      <c r="B11" s="3" t="inlineStr">
        <is>
          <t>Maison</t>
        </is>
      </c>
      <c r="C11" s="3" t="n"/>
      <c r="D11" s="3" t="inlineStr">
        <is>
          <t>Eckbolsheim</t>
        </is>
      </c>
      <c r="E11" s="3" t="inlineStr">
        <is>
          <t>67201</t>
        </is>
      </c>
      <c r="F11" s="4" t="n">
        <v>680000</v>
      </c>
      <c r="G11" s="5" t="n">
        <v>193.98</v>
      </c>
      <c r="H11" s="5" t="n">
        <v>207</v>
      </c>
      <c r="I11" s="2" t="n">
        <v>9</v>
      </c>
      <c r="J11" s="2" t="n">
        <v>7</v>
      </c>
      <c r="K11" s="4">
        <f>IFERROR(F11/G11,"")</f>
        <v/>
      </c>
      <c r="L11" s="3" t="inlineStr">
        <is>
          <t>C</t>
        </is>
      </c>
      <c r="M11" s="3" t="n"/>
      <c r="N11" s="3" t="inlineStr">
        <is>
          <t>GIPA</t>
        </is>
      </c>
      <c r="O11" s="3" t="n"/>
      <c r="P11" s="3" t="n"/>
      <c r="Q11" s="3" t="inlineStr">
        <is>
          <t>26/09/2026</t>
        </is>
      </c>
    </row>
    <row r="12">
      <c r="A12" s="2" t="n">
        <v>11</v>
      </c>
      <c r="B12" s="3" t="inlineStr">
        <is>
          <t>Maison</t>
        </is>
      </c>
      <c r="C12" s="3" t="inlineStr">
        <is>
          <t>Koenigshoffen Est</t>
        </is>
      </c>
      <c r="D12" s="3" t="inlineStr">
        <is>
          <t>Strasbourg</t>
        </is>
      </c>
      <c r="E12" s="3" t="inlineStr">
        <is>
          <t>67200</t>
        </is>
      </c>
      <c r="F12" s="4" t="n">
        <v>699600</v>
      </c>
      <c r="G12" s="5" t="n">
        <v>196.69</v>
      </c>
      <c r="H12" s="5" t="n">
        <v>500</v>
      </c>
      <c r="I12" s="2" t="n">
        <v>7</v>
      </c>
      <c r="J12" s="2" t="n">
        <v>5</v>
      </c>
      <c r="K12" s="4">
        <f>IFERROR(F12/G12,"")</f>
        <v/>
      </c>
      <c r="L12" s="3" t="inlineStr">
        <is>
          <t>D</t>
        </is>
      </c>
      <c r="M12" s="3" t="n"/>
      <c r="N12" s="3" t="inlineStr">
        <is>
          <t>GM CONSEIL</t>
        </is>
      </c>
      <c r="O12" s="3" t="n"/>
      <c r="P12" s="3" t="n"/>
      <c r="Q12" s="3" t="inlineStr">
        <is>
          <t>26/09/2026</t>
        </is>
      </c>
    </row>
    <row r="13">
      <c r="A13" s="2" t="n">
        <v>12</v>
      </c>
      <c r="B13" s="3" t="inlineStr">
        <is>
          <t>Maison</t>
        </is>
      </c>
      <c r="C13" s="3" t="inlineStr">
        <is>
          <t>Kable Nord</t>
        </is>
      </c>
      <c r="D13" s="3" t="inlineStr">
        <is>
          <t>Strasbourg</t>
        </is>
      </c>
      <c r="E13" s="3" t="inlineStr">
        <is>
          <t>67000</t>
        </is>
      </c>
      <c r="F13" s="4" t="n">
        <v>735000</v>
      </c>
      <c r="G13" s="5" t="n">
        <v>200.33</v>
      </c>
      <c r="H13" s="5" t="n"/>
      <c r="I13" s="2" t="n">
        <v>8</v>
      </c>
      <c r="J13" s="2" t="n">
        <v>1</v>
      </c>
      <c r="K13" s="4">
        <f>IFERROR(F13/G13,"")</f>
        <v/>
      </c>
      <c r="L13" s="3" t="n"/>
      <c r="M13" s="3" t="n"/>
      <c r="N13" s="3" t="inlineStr">
        <is>
          <t>OUARTIMMO</t>
        </is>
      </c>
      <c r="O13" s="3" t="inlineStr">
        <is>
          <t>D2</t>
        </is>
      </c>
      <c r="P13" s="3" t="n"/>
      <c r="Q13" s="3" t="inlineStr">
        <is>
          <t>26/09/2026</t>
        </is>
      </c>
    </row>
    <row r="14">
      <c r="A14" s="2" t="n">
        <v>13</v>
      </c>
      <c r="B14" s="3" t="inlineStr">
        <is>
          <t>Maison</t>
        </is>
      </c>
      <c r="C14" s="3" t="inlineStr">
        <is>
          <t>Kable Nord</t>
        </is>
      </c>
      <c r="D14" s="3" t="inlineStr">
        <is>
          <t>Strasbourg</t>
        </is>
      </c>
      <c r="E14" s="3" t="inlineStr">
        <is>
          <t>67000</t>
        </is>
      </c>
      <c r="F14" s="4" t="n">
        <v>735000</v>
      </c>
      <c r="G14" s="5" t="n">
        <v>200.33</v>
      </c>
      <c r="H14" s="5" t="n"/>
      <c r="I14" s="2" t="n">
        <v>8</v>
      </c>
      <c r="J14" s="2" t="n">
        <v>5</v>
      </c>
      <c r="K14" s="4">
        <f>IFERROR(F14/G14,"")</f>
        <v/>
      </c>
      <c r="L14" s="3" t="inlineStr">
        <is>
          <t>G</t>
        </is>
      </c>
      <c r="M14" s="3" t="n"/>
      <c r="N14" s="3" t="inlineStr">
        <is>
          <t>THICENT GROUPE</t>
        </is>
      </c>
      <c r="O14" s="3" t="inlineStr">
        <is>
          <t>D2</t>
        </is>
      </c>
      <c r="P14" s="3" t="n"/>
      <c r="Q14" s="3" t="inlineStr">
        <is>
          <t>26/09/2026</t>
        </is>
      </c>
    </row>
    <row r="15">
      <c r="A15" s="2" t="n">
        <v>14</v>
      </c>
      <c r="B15" s="3" t="inlineStr">
        <is>
          <t>Maison</t>
        </is>
      </c>
      <c r="C15" s="3" t="inlineStr">
        <is>
          <t>Est</t>
        </is>
      </c>
      <c r="D15" s="3" t="inlineStr">
        <is>
          <t>Geispolsheim</t>
        </is>
      </c>
      <c r="E15" s="3" t="inlineStr">
        <is>
          <t>67118</t>
        </is>
      </c>
      <c r="F15" s="4" t="n">
        <v>565000</v>
      </c>
      <c r="G15" s="5" t="n">
        <v>150</v>
      </c>
      <c r="H15" s="5" t="n">
        <v>500</v>
      </c>
      <c r="I15" s="2" t="n">
        <v>7</v>
      </c>
      <c r="J15" s="2" t="n">
        <v>5</v>
      </c>
      <c r="K15" s="4">
        <f>IFERROR(F15/G15,"")</f>
        <v/>
      </c>
      <c r="L15" s="3" t="inlineStr">
        <is>
          <t>D</t>
        </is>
      </c>
      <c r="M15" s="3" t="n"/>
      <c r="N15" s="3" t="inlineStr">
        <is>
          <t>MyHome Schiltigheim</t>
        </is>
      </c>
      <c r="O15" s="3" t="n"/>
      <c r="P15" s="3" t="n"/>
      <c r="Q15" s="3" t="inlineStr">
        <is>
          <t>26/09/2026</t>
        </is>
      </c>
    </row>
    <row r="16">
      <c r="A16" s="2" t="n">
        <v>15</v>
      </c>
      <c r="B16" s="3" t="inlineStr">
        <is>
          <t>Maison</t>
        </is>
      </c>
      <c r="C16" s="3" t="inlineStr">
        <is>
          <t>Espace Européen de l'Entreprise-Mittefeld</t>
        </is>
      </c>
      <c r="D16" s="3" t="inlineStr">
        <is>
          <t>Schiltigheim</t>
        </is>
      </c>
      <c r="E16" s="3" t="inlineStr">
        <is>
          <t>67300</t>
        </is>
      </c>
      <c r="F16" s="4" t="n">
        <v>645000</v>
      </c>
      <c r="G16" s="5" t="n">
        <v>170</v>
      </c>
      <c r="H16" s="5" t="n">
        <v>500</v>
      </c>
      <c r="I16" s="2" t="n">
        <v>6</v>
      </c>
      <c r="J16" s="2" t="n">
        <v>4</v>
      </c>
      <c r="K16" s="4">
        <f>IFERROR(F16/G16,"")</f>
        <v/>
      </c>
      <c r="L16" s="3" t="inlineStr">
        <is>
          <t>D</t>
        </is>
      </c>
      <c r="M16" s="3" t="n"/>
      <c r="N16" s="3" t="inlineStr">
        <is>
          <t>Christelle Clauss Immobilier BISCHHEIM</t>
        </is>
      </c>
      <c r="O16" s="3" t="n"/>
      <c r="P16" s="3" t="n"/>
      <c r="Q16" s="3" t="inlineStr">
        <is>
          <t>26/09/2026</t>
        </is>
      </c>
    </row>
    <row r="17">
      <c r="A17" s="2" t="n">
        <v>16</v>
      </c>
      <c r="B17" s="3" t="inlineStr">
        <is>
          <t>Maison</t>
        </is>
      </c>
      <c r="C17" s="3" t="inlineStr">
        <is>
          <t>Robertsau Centre</t>
        </is>
      </c>
      <c r="D17" s="3" t="inlineStr">
        <is>
          <t>Strasbourg</t>
        </is>
      </c>
      <c r="E17" s="3" t="inlineStr">
        <is>
          <t>67000</t>
        </is>
      </c>
      <c r="F17" s="4" t="n">
        <v>735000</v>
      </c>
      <c r="G17" s="5" t="n">
        <v>189</v>
      </c>
      <c r="H17" s="5" t="n">
        <v>266</v>
      </c>
      <c r="I17" s="2" t="n">
        <v>5</v>
      </c>
      <c r="J17" s="2" t="n">
        <v>4</v>
      </c>
      <c r="K17" s="4">
        <f>IFERROR(F17/G17,"")</f>
        <v/>
      </c>
      <c r="L17" s="3" t="inlineStr">
        <is>
          <t>C</t>
        </is>
      </c>
      <c r="M17" s="3" t="n"/>
      <c r="N17" s="3" t="inlineStr">
        <is>
          <t>HOMELOOP</t>
        </is>
      </c>
      <c r="O17" s="3" t="n"/>
      <c r="P17" s="3" t="n"/>
      <c r="Q17" s="3" t="inlineStr">
        <is>
          <t>26/09/2026</t>
        </is>
      </c>
    </row>
    <row r="18">
      <c r="A18" s="2" t="n">
        <v>17</v>
      </c>
      <c r="B18" s="3" t="inlineStr">
        <is>
          <t>Maison</t>
        </is>
      </c>
      <c r="C18" s="3" t="n"/>
      <c r="D18" s="3" t="inlineStr">
        <is>
          <t>Strasbourg</t>
        </is>
      </c>
      <c r="E18" s="3" t="inlineStr">
        <is>
          <t>67000</t>
        </is>
      </c>
      <c r="F18" s="4" t="n">
        <v>735000</v>
      </c>
      <c r="G18" s="5" t="n">
        <v>188</v>
      </c>
      <c r="H18" s="5" t="n">
        <v>288</v>
      </c>
      <c r="I18" s="2" t="n">
        <v>5</v>
      </c>
      <c r="J18" s="2" t="n">
        <v>4</v>
      </c>
      <c r="K18" s="4">
        <f>IFERROR(F18/G18,"")</f>
        <v/>
      </c>
      <c r="L18" s="3" t="inlineStr">
        <is>
          <t>C</t>
        </is>
      </c>
      <c r="M18" s="3" t="inlineStr">
        <is>
          <t>Neuf</t>
        </is>
      </c>
      <c r="N18" s="3" t="inlineStr">
        <is>
          <t>LIFEHOME IMMO</t>
        </is>
      </c>
      <c r="O18" s="3" t="n"/>
      <c r="P18" s="3" t="inlineStr">
        <is>
          <t>Première occupation</t>
        </is>
      </c>
      <c r="Q18" s="3" t="inlineStr">
        <is>
          <t>26/09/2026</t>
        </is>
      </c>
    </row>
    <row r="19">
      <c r="A19" s="2" t="n">
        <v>18</v>
      </c>
      <c r="B19" s="3" t="inlineStr">
        <is>
          <t>Maison</t>
        </is>
      </c>
      <c r="C19" s="3" t="inlineStr">
        <is>
          <t>Robertsau Centre</t>
        </is>
      </c>
      <c r="D19" s="3" t="inlineStr">
        <is>
          <t>Strasbourg</t>
        </is>
      </c>
      <c r="E19" s="3" t="inlineStr">
        <is>
          <t>67000</t>
        </is>
      </c>
      <c r="F19" s="4" t="n">
        <v>678000</v>
      </c>
      <c r="G19" s="5" t="n">
        <v>170</v>
      </c>
      <c r="H19" s="5" t="n">
        <v>722</v>
      </c>
      <c r="I19" s="2" t="n">
        <v>6</v>
      </c>
      <c r="J19" s="2" t="n">
        <v>4</v>
      </c>
      <c r="K19" s="4">
        <f>IFERROR(F19/G19,"")</f>
        <v/>
      </c>
      <c r="L19" s="3" t="inlineStr">
        <is>
          <t>D</t>
        </is>
      </c>
      <c r="M19" s="3" t="n"/>
      <c r="N19" s="3" t="inlineStr">
        <is>
          <t>SAFTI PION Mathilde conseiller indépendant</t>
        </is>
      </c>
      <c r="O19" s="3" t="inlineStr">
        <is>
          <t>D3</t>
        </is>
      </c>
      <c r="P19" s="3" t="n"/>
      <c r="Q19" s="3" t="inlineStr">
        <is>
          <t>26/09/2026</t>
        </is>
      </c>
    </row>
    <row r="20">
      <c r="A20" s="2" t="n">
        <v>19</v>
      </c>
      <c r="B20" s="3" t="inlineStr">
        <is>
          <t>Maison</t>
        </is>
      </c>
      <c r="C20" s="3" t="inlineStr">
        <is>
          <t>Robertsau Centre</t>
        </is>
      </c>
      <c r="D20" s="3" t="inlineStr">
        <is>
          <t>Strasbourg</t>
        </is>
      </c>
      <c r="E20" s="3" t="inlineStr">
        <is>
          <t>67000</t>
        </is>
      </c>
      <c r="F20" s="4" t="n">
        <v>678000</v>
      </c>
      <c r="G20" s="5" t="n">
        <v>169.21</v>
      </c>
      <c r="H20" s="5" t="n">
        <v>722</v>
      </c>
      <c r="I20" s="2" t="n">
        <v>7</v>
      </c>
      <c r="J20" s="2" t="n">
        <v>5</v>
      </c>
      <c r="K20" s="4">
        <f>IFERROR(F20/G20,"")</f>
        <v/>
      </c>
      <c r="L20" s="3" t="inlineStr">
        <is>
          <t>D</t>
        </is>
      </c>
      <c r="M20" s="3" t="n"/>
      <c r="N20" s="3" t="inlineStr">
        <is>
          <t>INFINE</t>
        </is>
      </c>
      <c r="O20" s="3" t="inlineStr">
        <is>
          <t>D3</t>
        </is>
      </c>
      <c r="P20" s="3" t="n"/>
      <c r="Q20" s="3" t="inlineStr">
        <is>
          <t>26/09/2026</t>
        </is>
      </c>
    </row>
    <row r="21">
      <c r="A21" s="2" t="n">
        <v>20</v>
      </c>
      <c r="B21" s="3" t="inlineStr">
        <is>
          <t>Maison</t>
        </is>
      </c>
      <c r="C21" s="3" t="inlineStr">
        <is>
          <t>Cronenbourg Est-Centre Est</t>
        </is>
      </c>
      <c r="D21" s="3" t="inlineStr">
        <is>
          <t>Strasbourg</t>
        </is>
      </c>
      <c r="E21" s="3" t="inlineStr">
        <is>
          <t>67200</t>
        </is>
      </c>
      <c r="F21" s="4" t="n">
        <v>700000</v>
      </c>
      <c r="G21" s="5" t="n">
        <v>174.16</v>
      </c>
      <c r="H21" s="5" t="n">
        <v>265</v>
      </c>
      <c r="I21" s="2" t="n">
        <v>6</v>
      </c>
      <c r="J21" s="2" t="n">
        <v>4</v>
      </c>
      <c r="K21" s="4">
        <f>IFERROR(F21/G21,"")</f>
        <v/>
      </c>
      <c r="L21" s="3" t="inlineStr">
        <is>
          <t>A</t>
        </is>
      </c>
      <c r="M21" s="3" t="n"/>
      <c r="N21" s="3" t="inlineStr">
        <is>
          <t>ORIGAMI</t>
        </is>
      </c>
      <c r="O21" s="3" t="n"/>
      <c r="P21" s="3" t="n"/>
      <c r="Q21" s="3" t="inlineStr">
        <is>
          <t>26/09/2026</t>
        </is>
      </c>
    </row>
    <row r="22">
      <c r="A22" s="2" t="n">
        <v>21</v>
      </c>
      <c r="B22" s="3" t="inlineStr">
        <is>
          <t>Maison</t>
        </is>
      </c>
      <c r="C22" s="3" t="n"/>
      <c r="D22" s="3" t="inlineStr">
        <is>
          <t>Oberhausbergen</t>
        </is>
      </c>
      <c r="E22" s="3" t="inlineStr">
        <is>
          <t>67205</t>
        </is>
      </c>
      <c r="F22" s="4" t="n">
        <v>800000</v>
      </c>
      <c r="G22" s="5" t="n">
        <v>193</v>
      </c>
      <c r="H22" s="5" t="n">
        <v>415</v>
      </c>
      <c r="I22" s="2" t="n">
        <v>5</v>
      </c>
      <c r="J22" s="2" t="n">
        <v>4</v>
      </c>
      <c r="K22" s="4">
        <f>IFERROR(F22/G22,"")</f>
        <v/>
      </c>
      <c r="L22" s="3" t="inlineStr">
        <is>
          <t>A</t>
        </is>
      </c>
      <c r="M22" s="3" t="n"/>
      <c r="N22" s="3" t="inlineStr">
        <is>
          <t>PLURIEL IMMOBILIER</t>
        </is>
      </c>
      <c r="O22" s="3" t="n"/>
      <c r="P22" s="3" t="n"/>
      <c r="Q22" s="3" t="inlineStr">
        <is>
          <t>26/09/2026</t>
        </is>
      </c>
    </row>
    <row r="23">
      <c r="A23" s="2" t="n">
        <v>22</v>
      </c>
      <c r="B23" s="3" t="inlineStr">
        <is>
          <t>Maison</t>
        </is>
      </c>
      <c r="C23" s="3" t="n"/>
      <c r="D23" s="3" t="inlineStr">
        <is>
          <t>Oberhausbergen</t>
        </is>
      </c>
      <c r="E23" s="3" t="inlineStr">
        <is>
          <t>67205</t>
        </is>
      </c>
      <c r="F23" s="4" t="n">
        <v>724000</v>
      </c>
      <c r="G23" s="5" t="n">
        <v>170</v>
      </c>
      <c r="H23" s="5" t="n">
        <v>576</v>
      </c>
      <c r="I23" s="2" t="n">
        <v>6</v>
      </c>
      <c r="J23" s="2" t="n">
        <v>4</v>
      </c>
      <c r="K23" s="4">
        <f>IFERROR(F23/G23,"")</f>
        <v/>
      </c>
      <c r="L23" s="3" t="inlineStr">
        <is>
          <t>B</t>
        </is>
      </c>
      <c r="M23" s="3" t="n"/>
      <c r="N23" s="3" t="inlineStr">
        <is>
          <t>CHRISTELLE CLAUSS IMMOBILIER</t>
        </is>
      </c>
      <c r="O23" s="3" t="n"/>
      <c r="P23" s="3" t="n"/>
      <c r="Q23" s="3" t="inlineStr">
        <is>
          <t>26/09/2026</t>
        </is>
      </c>
    </row>
    <row r="24">
      <c r="A24" s="2" t="n">
        <v>23</v>
      </c>
      <c r="B24" s="3" t="inlineStr">
        <is>
          <t>Maison</t>
        </is>
      </c>
      <c r="C24" s="3" t="n"/>
      <c r="D24" s="3" t="inlineStr">
        <is>
          <t>Oberhausbergen</t>
        </is>
      </c>
      <c r="E24" s="3" t="inlineStr">
        <is>
          <t>67205</t>
        </is>
      </c>
      <c r="F24" s="4" t="n">
        <v>699000</v>
      </c>
      <c r="G24" s="5" t="n">
        <v>152.78</v>
      </c>
      <c r="H24" s="5" t="n">
        <v>367</v>
      </c>
      <c r="I24" s="2" t="n">
        <v>5</v>
      </c>
      <c r="J24" s="2" t="n">
        <v>4</v>
      </c>
      <c r="K24" s="4">
        <f>IFERROR(F24/G24,"")</f>
        <v/>
      </c>
      <c r="L24" s="3" t="inlineStr">
        <is>
          <t>A</t>
        </is>
      </c>
      <c r="M24" s="3" t="n"/>
      <c r="N24" s="3" t="inlineStr">
        <is>
          <t>CHRISTELLE CLAUSS IMMOBILIER CRONENBOURG</t>
        </is>
      </c>
      <c r="O24" s="3" t="n"/>
      <c r="P24" s="3" t="n"/>
      <c r="Q24" s="3" t="inlineStr">
        <is>
          <t>26/09/2026</t>
        </is>
      </c>
    </row>
    <row r="25">
      <c r="A25" s="2" t="n">
        <v>24</v>
      </c>
      <c r="B25" s="3" t="inlineStr">
        <is>
          <t>Maison</t>
        </is>
      </c>
      <c r="C25" s="3" t="inlineStr">
        <is>
          <t>Est</t>
        </is>
      </c>
      <c r="D25" s="3" t="inlineStr">
        <is>
          <t>Hœnheim</t>
        </is>
      </c>
      <c r="E25" s="3" t="inlineStr">
        <is>
          <t>67800</t>
        </is>
      </c>
      <c r="F25" s="4" t="n">
        <v>750000</v>
      </c>
      <c r="G25" s="5" t="n">
        <v>160</v>
      </c>
      <c r="H25" s="5" t="n">
        <v>662</v>
      </c>
      <c r="I25" s="2" t="n">
        <v>6</v>
      </c>
      <c r="J25" s="2" t="n">
        <v>4</v>
      </c>
      <c r="K25" s="4">
        <f>IFERROR(F25/G25,"")</f>
        <v/>
      </c>
      <c r="L25" s="3" t="inlineStr">
        <is>
          <t>D</t>
        </is>
      </c>
      <c r="M25" s="3" t="n"/>
      <c r="N25" s="3" t="inlineStr">
        <is>
          <t>CHRISTELLE CLAUSS IMMOBILIER</t>
        </is>
      </c>
      <c r="O25" s="3" t="n"/>
      <c r="P25" s="3" t="n"/>
      <c r="Q25" s="3" t="inlineStr">
        <is>
          <t>26/09/2026</t>
        </is>
      </c>
    </row>
    <row r="26">
      <c r="A26" s="2" t="n">
        <v>25</v>
      </c>
      <c r="B26" s="3" t="inlineStr">
        <is>
          <t>Maison</t>
        </is>
      </c>
      <c r="C26" s="3" t="inlineStr">
        <is>
          <t>Robertsau Centre</t>
        </is>
      </c>
      <c r="D26" s="3" t="inlineStr">
        <is>
          <t>Strasbourg</t>
        </is>
      </c>
      <c r="E26" s="3" t="inlineStr">
        <is>
          <t>67000</t>
        </is>
      </c>
      <c r="F26" s="4" t="n"/>
      <c r="G26" s="5" t="n">
        <v>170</v>
      </c>
      <c r="H26" s="5" t="n"/>
      <c r="I26" s="2" t="n">
        <v>6</v>
      </c>
      <c r="J26" s="2" t="n">
        <v>4</v>
      </c>
      <c r="K26" s="4" t="n"/>
      <c r="L26" s="3" t="inlineStr">
        <is>
          <t>D</t>
        </is>
      </c>
      <c r="M26" s="3" t="n"/>
      <c r="N26" s="3" t="inlineStr">
        <is>
          <t>Agence Air</t>
        </is>
      </c>
      <c r="O26" s="3" t="n"/>
      <c r="P26" s="3" t="inlineStr">
        <is>
          <t>Prix non communiqué, annonce affichée « - de 1.1M € »</t>
        </is>
      </c>
      <c r="Q26" s="3" t="inlineStr">
        <is>
          <t>26/09/2026</t>
        </is>
      </c>
    </row>
  </sheetData>
  <autoFilter ref="A1:Q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6" t="inlineStr">
        <is>
          <t>Critères de la recherche</t>
        </is>
      </c>
    </row>
    <row r="3">
      <c r="A3" s="7" t="inlineStr">
        <is>
          <t>Date du relevé</t>
        </is>
      </c>
      <c r="B3" s="8" t="inlineStr">
        <is>
          <t>26/09/2026</t>
        </is>
      </c>
    </row>
    <row r="4">
      <c r="A4" s="7" t="inlineStr">
        <is>
          <t>Source</t>
        </is>
      </c>
      <c r="B4" s="8" t="inlineStr">
        <is>
          <t>logic-immo.com</t>
        </is>
      </c>
    </row>
    <row r="5">
      <c r="A5" s="7" t="inlineStr">
        <is>
          <t>Biens retenus</t>
        </is>
      </c>
      <c r="B5" s="8" t="n">
        <v>25</v>
      </c>
    </row>
    <row r="6">
      <c r="A6" s="7" t="inlineStr">
        <is>
          <t>Type de bien</t>
        </is>
      </c>
      <c r="B6" s="8" t="inlineStr">
        <is>
          <t>Maison</t>
        </is>
      </c>
    </row>
    <row r="7">
      <c r="A7" s="7" t="inlineStr">
        <is>
          <t>Transaction</t>
        </is>
      </c>
      <c r="B7" s="8" t="inlineStr">
        <is>
          <t>Achat</t>
        </is>
      </c>
    </row>
    <row r="8">
      <c r="A8" s="7" t="inlineStr">
        <is>
          <t>Prix minimum (€)</t>
        </is>
      </c>
      <c r="B8" s="8" t="n">
        <v>550000</v>
      </c>
    </row>
    <row r="9">
      <c r="A9" s="7" t="inlineStr">
        <is>
          <t>Prix maximum (€)</t>
        </is>
      </c>
      <c r="B9" s="8" t="n">
        <v>800000</v>
      </c>
    </row>
    <row r="10">
      <c r="A10" s="7" t="inlineStr">
        <is>
          <t>Surface minimum (m²)</t>
        </is>
      </c>
      <c r="B10" s="8" t="n">
        <v>150</v>
      </c>
    </row>
    <row r="11">
      <c r="A11" s="7" t="inlineStr">
        <is>
          <t>Surface maximum (m²)</t>
        </is>
      </c>
      <c r="B11" s="8" t="n">
        <v>250</v>
      </c>
    </row>
    <row r="12">
      <c r="A12" s="7" t="inlineStr">
        <is>
          <t>Neuf / ancien</t>
        </is>
      </c>
      <c r="B12" s="8" t="inlineStr">
        <is>
          <t>Neuf + Ancien</t>
        </is>
      </c>
    </row>
    <row r="13">
      <c r="A13" s="7" t="inlineStr">
        <is>
          <t>Type d'annonceur</t>
        </is>
      </c>
      <c r="B13" s="8" t="inlineStr">
        <is>
          <t>Professionnels (agences)</t>
        </is>
      </c>
    </row>
    <row r="14">
      <c r="A14" s="7" t="inlineStr">
        <is>
          <t>Zone géographique</t>
        </is>
      </c>
      <c r="B14" s="8" t="inlineStr">
        <is>
          <t>15 minutes en voiture depuis la rue de la Krutenau, Strasbourg</t>
        </is>
      </c>
    </row>
    <row r="15">
      <c r="A15" s="7" t="inlineStr">
        <is>
          <t>URL de recherche</t>
        </is>
      </c>
      <c r="B15" s="8" t="inlineStr">
        <is>
          <t>https://www.logic-immo.com/classified-map?classifiedBusiness=Professional&amp;distributionTypes=Buy&amp;estateTypes=House&amp;locations=eyJwbGFjZUlkcyI6WyJTVFJURlI0MTI4Mzk1Il0sImR1cmF0aW9uIjoxNSwibW9kZSI6IkNhciJ9&amp;method=form&amp;priceMax=800000&amp;priceMin=550000&amp;projectTypes=Projected,Resale&amp;spaceMax=250&amp;spaceMin=150</t>
        </is>
      </c>
    </row>
    <row r="17">
      <c r="A17" s="7" t="inlineStr">
        <is>
          <t>Notes de méthode</t>
        </is>
      </c>
    </row>
    <row r="18">
      <c r="B18" s="8" t="inlineStr">
        <is>
          <t>Données relevées automatiquement sur les pages de résultats Logic-Immo, telles que publiées par les annonceurs.</t>
        </is>
      </c>
    </row>
    <row r="19">
      <c r="B19" s="8" t="inlineStr">
        <is>
          <t>Prix/m² : formule de la feuille Biens (prix ÷ surface habitable), recalculée ici et non recopiée.</t>
        </is>
      </c>
    </row>
    <row r="20">
      <c r="B20" s="8" t="inlineStr">
        <is>
          <t>Le classement par défaut est le prix au m² croissant. Les filtres Excel sont actifs sur l'en-tête.</t>
        </is>
      </c>
    </row>
    <row r="21">
      <c r="B21" s="8" t="inlineStr">
        <is>
          <t>Une cellule vide signifie que l'information n'était pas publiée dans l'annonce.</t>
        </is>
      </c>
    </row>
    <row r="22">
      <c r="B22" s="8" t="inlineStr">
        <is>
          <t>Relevé fait à partir de la page 1 des résultats : 25 annonces sur les 28 annoncées par le site, la page 2 n'a pas été reprise.</t>
        </is>
      </c>
    </row>
    <row r="23">
      <c r="B23" s="8" t="inlineStr">
        <is>
          <t>Les liens vers les annonces ne figurent pas dans la source utilisée, d'où l'absence de colonne Lien.</t>
        </is>
      </c>
    </row>
    <row r="24">
      <c r="B24" s="8" t="inlineStr">
        <is>
          <t>3 bien(s) semblent diffusés par plusieurs agences : colonne Doublon, même prix et même commune, surface à 2 % près. Ils sont conservés tels quels, leurs caractéristiques publiées différant d'une annonce à l'autre.</t>
        </is>
      </c>
    </row>
    <row r="25">
      <c r="B25" s="8" t="inlineStr">
        <is>
          <t>Prix au m² recalculé conforme à celui affiché par le site sur toutes les annonces vérifiables.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2026-09-26T08:41:35Z</dcterms:created>
  <dcterms:modified xsi:type="dcterms:W3CDTF">2026-09-26T08:41:35Z</dcterms:modified>
</cp:coreProperties>
</file>